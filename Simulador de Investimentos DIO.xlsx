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d38b0927634416/Documentos/"/>
    </mc:Choice>
  </mc:AlternateContent>
  <xr:revisionPtr revIDLastSave="239" documentId="8_{3C5C8EE4-50AE-46CF-86E6-A43A22EA2731}" xr6:coauthVersionLast="47" xr6:coauthVersionMax="47" xr10:uidLastSave="{2E01B251-991C-4DA7-9814-E81B2A53A462}"/>
  <bookViews>
    <workbookView xWindow="-120" yWindow="-120" windowWidth="38640" windowHeight="15720" xr2:uid="{A0B654A8-463E-4BA4-AED5-2C6CA387A831}"/>
  </bookViews>
  <sheets>
    <sheet name="SIMULADOR" sheetId="1" r:id="rId1"/>
    <sheet name="DATA" sheetId="3" r:id="rId2"/>
  </sheets>
  <definedNames>
    <definedName name="anos">SIMULADOR!$D$16</definedName>
    <definedName name="aporte">SIMULADOR!$D$15</definedName>
    <definedName name="atrimonio">SIMULADOR!$D$18</definedName>
    <definedName name="patrimonio">SIMULADOR!$D$18</definedName>
    <definedName name="rendimento_carteira">SIMULADOR!$D$10</definedName>
    <definedName name="salario">SIMULADOR!$D$9</definedName>
    <definedName name="sugestao_invest">SIMULADOR!$D$12</definedName>
    <definedName name="taxa_mensal">SIMULADOR!$D$17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A33" i="1"/>
  <c r="C33" i="1" s="1"/>
  <c r="D33" i="1" s="1"/>
  <c r="A34" i="1"/>
  <c r="C34" i="1" s="1"/>
  <c r="D34" i="1" s="1"/>
  <c r="A35" i="1"/>
  <c r="C35" i="1" s="1"/>
  <c r="D35" i="1" s="1"/>
  <c r="A36" i="1"/>
  <c r="C36" i="1" s="1"/>
  <c r="D36" i="1" s="1"/>
  <c r="A37" i="1"/>
  <c r="C37" i="1" s="1"/>
  <c r="D37" i="1" s="1"/>
  <c r="A32" i="1"/>
  <c r="C32" i="1" s="1"/>
  <c r="D32" i="1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7" i="3"/>
  <c r="D12" i="1"/>
  <c r="D18" i="1"/>
  <c r="D19" i="1" s="1"/>
  <c r="C23" i="1"/>
  <c r="D23" i="1" s="1"/>
  <c r="C24" i="1"/>
  <c r="D24" i="1" s="1"/>
  <c r="C25" i="1"/>
  <c r="D25" i="1" s="1"/>
  <c r="C26" i="1"/>
  <c r="D26" i="1" s="1"/>
  <c r="C22" i="1"/>
  <c r="D22" i="1" s="1"/>
  <c r="D38" i="1" l="1"/>
</calcChain>
</file>

<file path=xl/sharedStrings.xml><?xml version="1.0" encoding="utf-8"?>
<sst xmlns="http://schemas.openxmlformats.org/spreadsheetml/2006/main" count="71" uniqueCount="35">
  <si>
    <t>INVESTIMENTO MENSAL</t>
  </si>
  <si>
    <t>Quanto investir por mês?</t>
  </si>
  <si>
    <t>Por quantos anos?</t>
  </si>
  <si>
    <t>Taxa de rendimento mensal?</t>
  </si>
  <si>
    <t>Patrimonio acumulado?</t>
  </si>
  <si>
    <t>Dividendos mensais?</t>
  </si>
  <si>
    <t>Quanto em 2 Anos</t>
  </si>
  <si>
    <t>Quanto em 5 Anos</t>
  </si>
  <si>
    <t>Quanto em 10 Anos</t>
  </si>
  <si>
    <t>Quanto em 20 Anos</t>
  </si>
  <si>
    <t>Quanto em 30 Anos</t>
  </si>
  <si>
    <t>CENÁRIOS</t>
  </si>
  <si>
    <t>DIVIDENDOS</t>
  </si>
  <si>
    <t>CONFIGURAÇÕES</t>
  </si>
  <si>
    <t>Rendimento Carteira</t>
  </si>
  <si>
    <t>Salário</t>
  </si>
  <si>
    <t>Sugestão de Investimento</t>
  </si>
  <si>
    <t>AGRESSIVO</t>
  </si>
  <si>
    <t>CONSERVADOR</t>
  </si>
  <si>
    <t>MODERADO</t>
  </si>
  <si>
    <t>PERFIL</t>
  </si>
  <si>
    <t>TIPO DE FII</t>
  </si>
  <si>
    <t>PERCENTUAL SUGERIDO (%)</t>
  </si>
  <si>
    <t>VALORES</t>
  </si>
  <si>
    <t>PAPEL</t>
  </si>
  <si>
    <t>TIJOLO</t>
  </si>
  <si>
    <t>FOF</t>
  </si>
  <si>
    <t>HÍBRIDO</t>
  </si>
  <si>
    <t>DESENVOLVIMENTO</t>
  </si>
  <si>
    <t>HOTELARIA</t>
  </si>
  <si>
    <t>%</t>
  </si>
  <si>
    <t>CHAVE</t>
  </si>
  <si>
    <t>TOTAL</t>
  </si>
  <si>
    <t>Percentual do Salário Para Investir</t>
  </si>
  <si>
    <t>DISTRIBUIÇÃO DO APORTE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</si>
</sst>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4" borderId="2" xfId="0" applyFont="1" applyFill="1" applyBorder="1" applyAlignment="1">
      <alignment vertical="center"/>
    </xf>
    <xf numFmtId="9" fontId="0" fillId="0" borderId="16" xfId="0" applyNumberForma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5" fillId="0" borderId="14" xfId="1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0" fontId="5" fillId="0" borderId="16" xfId="2" applyNumberFormat="1" applyFont="1" applyBorder="1" applyAlignment="1">
      <alignment horizontal="center"/>
    </xf>
    <xf numFmtId="8" fontId="5" fillId="6" borderId="16" xfId="0" applyNumberFormat="1" applyFont="1" applyFill="1" applyBorder="1" applyAlignment="1">
      <alignment horizontal="center"/>
    </xf>
    <xf numFmtId="8" fontId="5" fillId="6" borderId="18" xfId="0" applyNumberFormat="1" applyFont="1" applyFill="1" applyBorder="1" applyAlignment="1">
      <alignment horizontal="center"/>
    </xf>
    <xf numFmtId="44" fontId="0" fillId="6" borderId="19" xfId="1" applyFont="1" applyFill="1" applyBorder="1"/>
    <xf numFmtId="44" fontId="0" fillId="6" borderId="14" xfId="1" applyFont="1" applyFill="1" applyBorder="1"/>
    <xf numFmtId="44" fontId="0" fillId="6" borderId="20" xfId="1" applyFont="1" applyFill="1" applyBorder="1"/>
    <xf numFmtId="44" fontId="0" fillId="6" borderId="16" xfId="1" applyFont="1" applyFill="1" applyBorder="1"/>
    <xf numFmtId="44" fontId="0" fillId="6" borderId="21" xfId="1" applyFont="1" applyFill="1" applyBorder="1"/>
    <xf numFmtId="44" fontId="0" fillId="6" borderId="18" xfId="1" applyFont="1" applyFill="1" applyBorder="1"/>
    <xf numFmtId="0" fontId="0" fillId="6" borderId="13" xfId="0" applyFill="1" applyBorder="1" applyAlignment="1">
      <alignment horizontal="left"/>
    </xf>
    <xf numFmtId="0" fontId="0" fillId="6" borderId="15" xfId="0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164" fontId="0" fillId="6" borderId="18" xfId="0" applyNumberFormat="1" applyFill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6" xfId="2" applyFont="1" applyBorder="1" applyAlignment="1">
      <alignment horizontal="center"/>
    </xf>
    <xf numFmtId="0" fontId="0" fillId="0" borderId="25" xfId="0" applyBorder="1" applyAlignment="1">
      <alignment horizontal="center"/>
    </xf>
    <xf numFmtId="9" fontId="0" fillId="0" borderId="8" xfId="2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0" fontId="3" fillId="3" borderId="2" xfId="4" applyBorder="1" applyAlignment="1">
      <alignment horizontal="center"/>
    </xf>
    <xf numFmtId="44" fontId="4" fillId="7" borderId="10" xfId="0" applyNumberFormat="1" applyFont="1" applyFill="1" applyBorder="1"/>
    <xf numFmtId="0" fontId="2" fillId="2" borderId="2" xfId="3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6" borderId="31" xfId="0" applyFill="1" applyBorder="1" applyAlignment="1">
      <alignment horizontal="center"/>
    </xf>
    <xf numFmtId="9" fontId="0" fillId="6" borderId="32" xfId="2" applyFont="1" applyFill="1" applyBorder="1" applyAlignment="1">
      <alignment horizontal="center"/>
    </xf>
    <xf numFmtId="44" fontId="0" fillId="6" borderId="33" xfId="1" applyFont="1" applyFill="1" applyBorder="1" applyAlignment="1">
      <alignment horizontal="center"/>
    </xf>
    <xf numFmtId="9" fontId="0" fillId="6" borderId="29" xfId="2" applyFont="1" applyFill="1" applyBorder="1" applyAlignment="1">
      <alignment horizontal="center"/>
    </xf>
    <xf numFmtId="44" fontId="0" fillId="6" borderId="27" xfId="1" applyFont="1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9" fontId="0" fillId="6" borderId="30" xfId="2" applyFont="1" applyFill="1" applyBorder="1" applyAlignment="1">
      <alignment horizontal="center"/>
    </xf>
    <xf numFmtId="44" fontId="0" fillId="6" borderId="28" xfId="1" applyFont="1" applyFill="1" applyBorder="1" applyAlignment="1">
      <alignment horizontal="center"/>
    </xf>
    <xf numFmtId="0" fontId="4" fillId="7" borderId="9" xfId="0" applyFont="1" applyFill="1" applyBorder="1" applyAlignment="1">
      <alignment horizontal="right"/>
    </xf>
    <xf numFmtId="0" fontId="4" fillId="7" borderId="11" xfId="0" applyFont="1" applyFill="1" applyBorder="1" applyAlignment="1">
      <alignment horizontal="righ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8" fillId="2" borderId="9" xfId="3" applyFont="1" applyBorder="1" applyAlignment="1">
      <alignment horizontal="left" vertical="center"/>
    </xf>
    <xf numFmtId="0" fontId="8" fillId="2" borderId="10" xfId="3" applyFont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</cellXfs>
  <cellStyles count="5">
    <cellStyle name="Cálculo" xfId="4" builtinId="22"/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38100</xdr:rowOff>
    </xdr:from>
    <xdr:to>
      <xdr:col>4</xdr:col>
      <xdr:colOff>0</xdr:colOff>
      <xdr:row>6</xdr:row>
      <xdr:rowOff>152400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4D3C4F50-6D2C-DE72-3E28-879877C22FE5}"/>
            </a:ext>
          </a:extLst>
        </xdr:cNvPr>
        <xdr:cNvSpPr/>
      </xdr:nvSpPr>
      <xdr:spPr>
        <a:xfrm>
          <a:off x="219075" y="38100"/>
          <a:ext cx="4086225" cy="1257300"/>
        </a:xfrm>
        <a:prstGeom prst="roundRect">
          <a:avLst>
            <a:gd name="adj" fmla="val 7576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142874</xdr:colOff>
      <xdr:row>0</xdr:row>
      <xdr:rowOff>90488</xdr:rowOff>
    </xdr:from>
    <xdr:to>
      <xdr:col>2</xdr:col>
      <xdr:colOff>57149</xdr:colOff>
      <xdr:row>6</xdr:row>
      <xdr:rowOff>100013</xdr:rowOff>
    </xdr:to>
    <xdr:pic>
      <xdr:nvPicPr>
        <xdr:cNvPr id="8" name="Gráfico 7" descr="Gráfico exponencial com preenchimento sólido">
          <a:extLst>
            <a:ext uri="{FF2B5EF4-FFF2-40B4-BE49-F238E27FC236}">
              <a16:creationId xmlns:a16="http://schemas.microsoft.com/office/drawing/2014/main" id="{22B9F589-9AB7-B33D-B938-668193819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899" y="90488"/>
          <a:ext cx="1152525" cy="1152525"/>
        </a:xfrm>
        <a:prstGeom prst="rect">
          <a:avLst/>
        </a:prstGeom>
      </xdr:spPr>
    </xdr:pic>
    <xdr:clientData/>
  </xdr:twoCellAnchor>
  <xdr:twoCellAnchor>
    <xdr:from>
      <xdr:col>1</xdr:col>
      <xdr:colOff>1181100</xdr:colOff>
      <xdr:row>0</xdr:row>
      <xdr:rowOff>180975</xdr:rowOff>
    </xdr:from>
    <xdr:to>
      <xdr:col>3</xdr:col>
      <xdr:colOff>942975</xdr:colOff>
      <xdr:row>5</xdr:row>
      <xdr:rowOff>28575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B9315314-8D96-F17E-272D-FC9AB76F018F}"/>
            </a:ext>
          </a:extLst>
        </xdr:cNvPr>
        <xdr:cNvSpPr txBox="1"/>
      </xdr:nvSpPr>
      <xdr:spPr>
        <a:xfrm>
          <a:off x="1381125" y="180975"/>
          <a:ext cx="2809875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000" b="1"/>
            <a:t>WAP Invest</a:t>
          </a:r>
        </a:p>
      </xdr:txBody>
    </xdr:sp>
    <xdr:clientData/>
  </xdr:twoCellAnchor>
  <xdr:twoCellAnchor>
    <xdr:from>
      <xdr:col>2</xdr:col>
      <xdr:colOff>133350</xdr:colOff>
      <xdr:row>3</xdr:row>
      <xdr:rowOff>171450</xdr:rowOff>
    </xdr:from>
    <xdr:to>
      <xdr:col>3</xdr:col>
      <xdr:colOff>752475</xdr:colOff>
      <xdr:row>5</xdr:row>
      <xdr:rowOff>66675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BE32E3D9-3EF8-B549-CE5C-CE5798D040FA}"/>
            </a:ext>
          </a:extLst>
        </xdr:cNvPr>
        <xdr:cNvSpPr txBox="1"/>
      </xdr:nvSpPr>
      <xdr:spPr>
        <a:xfrm>
          <a:off x="1571625" y="742950"/>
          <a:ext cx="24288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400"/>
            <a:t>Fundos Imobiliários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834B-D21B-477A-A20D-29DC3FFAE7C6}">
  <sheetPr>
    <tabColor theme="9"/>
  </sheetPr>
  <dimension ref="A8:G54"/>
  <sheetViews>
    <sheetView showGridLines="0" tabSelected="1" zoomScale="90" zoomScaleNormal="90" workbookViewId="0">
      <selection activeCell="E28" sqref="E28"/>
    </sheetView>
  </sheetViews>
  <sheetFormatPr defaultColWidth="0" defaultRowHeight="15" x14ac:dyDescent="0.25"/>
  <cols>
    <col min="1" max="1" width="3" bestFit="1" customWidth="1"/>
    <col min="2" max="2" width="18.5703125" bestFit="1" customWidth="1"/>
    <col min="3" max="3" width="27.140625" bestFit="1" customWidth="1"/>
    <col min="4" max="4" width="15.85546875" bestFit="1" customWidth="1"/>
    <col min="5" max="5" width="3" customWidth="1"/>
    <col min="6" max="6" width="23.7109375" hidden="1" customWidth="1"/>
    <col min="7" max="7" width="12.140625" hidden="1" customWidth="1"/>
    <col min="8" max="16384" width="9.140625" hidden="1"/>
  </cols>
  <sheetData>
    <row r="8" spans="2:4" ht="18.75" x14ac:dyDescent="0.25">
      <c r="B8" s="66" t="s">
        <v>13</v>
      </c>
      <c r="C8" s="67"/>
      <c r="D8" s="68"/>
    </row>
    <row r="9" spans="2:4" x14ac:dyDescent="0.25">
      <c r="B9" s="53" t="s">
        <v>15</v>
      </c>
      <c r="C9" s="54"/>
      <c r="D9" s="6">
        <v>2800</v>
      </c>
    </row>
    <row r="10" spans="2:4" x14ac:dyDescent="0.25">
      <c r="B10" s="55" t="s">
        <v>14</v>
      </c>
      <c r="C10" s="56"/>
      <c r="D10" s="5">
        <v>0.01</v>
      </c>
    </row>
    <row r="11" spans="2:4" x14ac:dyDescent="0.25">
      <c r="B11" s="59" t="s">
        <v>33</v>
      </c>
      <c r="C11" s="60"/>
      <c r="D11" s="22">
        <v>0.15</v>
      </c>
    </row>
    <row r="12" spans="2:4" x14ac:dyDescent="0.25">
      <c r="B12" s="57" t="s">
        <v>16</v>
      </c>
      <c r="C12" s="58"/>
      <c r="D12" s="21">
        <f>salario*D11</f>
        <v>420</v>
      </c>
    </row>
    <row r="14" spans="2:4" ht="18.75" x14ac:dyDescent="0.25">
      <c r="B14" s="63" t="s">
        <v>0</v>
      </c>
      <c r="C14" s="64"/>
      <c r="D14" s="65"/>
    </row>
    <row r="15" spans="2:4" x14ac:dyDescent="0.25">
      <c r="B15" s="53" t="s">
        <v>1</v>
      </c>
      <c r="C15" s="54"/>
      <c r="D15" s="7">
        <v>420</v>
      </c>
    </row>
    <row r="16" spans="2:4" x14ac:dyDescent="0.25">
      <c r="B16" s="55" t="s">
        <v>2</v>
      </c>
      <c r="C16" s="56"/>
      <c r="D16" s="8">
        <v>5</v>
      </c>
    </row>
    <row r="17" spans="1:5" x14ac:dyDescent="0.25">
      <c r="B17" s="55" t="s">
        <v>3</v>
      </c>
      <c r="C17" s="56"/>
      <c r="D17" s="9">
        <v>1.0800000000000001E-2</v>
      </c>
    </row>
    <row r="18" spans="1:5" x14ac:dyDescent="0.25">
      <c r="B18" s="69" t="s">
        <v>4</v>
      </c>
      <c r="C18" s="70"/>
      <c r="D18" s="10">
        <f>FV(taxa_mensal,anos*12,aporte*-1)</f>
        <v>35197.688130888542</v>
      </c>
      <c r="E18" s="2"/>
    </row>
    <row r="19" spans="1:5" x14ac:dyDescent="0.25">
      <c r="B19" s="51" t="s">
        <v>5</v>
      </c>
      <c r="C19" s="52"/>
      <c r="D19" s="11">
        <f>patrimonio*rendimento_carteira</f>
        <v>351.97688130888542</v>
      </c>
    </row>
    <row r="21" spans="1:5" ht="18.75" x14ac:dyDescent="0.25">
      <c r="B21" s="63" t="s">
        <v>11</v>
      </c>
      <c r="C21" s="64"/>
      <c r="D21" s="4" t="s">
        <v>12</v>
      </c>
    </row>
    <row r="22" spans="1:5" x14ac:dyDescent="0.25">
      <c r="A22" s="3">
        <v>2</v>
      </c>
      <c r="B22" s="18" t="s">
        <v>6</v>
      </c>
      <c r="C22" s="12">
        <f>FV($D$17,$A22*12,$D$15*-1)</f>
        <v>11436.962737444268</v>
      </c>
      <c r="D22" s="13">
        <f>C22*rendimento_carteira</f>
        <v>114.36962737444269</v>
      </c>
    </row>
    <row r="23" spans="1:5" x14ac:dyDescent="0.25">
      <c r="A23" s="3">
        <v>5</v>
      </c>
      <c r="B23" s="19" t="s">
        <v>7</v>
      </c>
      <c r="C23" s="14">
        <f>FV($D$17,$A23*12,$D$15*-1)</f>
        <v>35197.688130888542</v>
      </c>
      <c r="D23" s="15">
        <f>C23*rendimento_carteira</f>
        <v>351.97688130888542</v>
      </c>
    </row>
    <row r="24" spans="1:5" x14ac:dyDescent="0.25">
      <c r="A24" s="3">
        <v>10</v>
      </c>
      <c r="B24" s="19" t="s">
        <v>8</v>
      </c>
      <c r="C24" s="14">
        <f>FV($D$17,$A24*12,$D$15*-1)</f>
        <v>102252.21982701604</v>
      </c>
      <c r="D24" s="15">
        <f>C24*rendimento_carteira</f>
        <v>1022.5221982701605</v>
      </c>
    </row>
    <row r="25" spans="1:5" x14ac:dyDescent="0.25">
      <c r="A25" s="3">
        <v>20</v>
      </c>
      <c r="B25" s="19" t="s">
        <v>9</v>
      </c>
      <c r="C25" s="14">
        <f>FV($D$17,$A25*12,$D$15*-1)</f>
        <v>473360.57718537981</v>
      </c>
      <c r="D25" s="15">
        <f>C25*rendimento_carteira</f>
        <v>4733.6057718537986</v>
      </c>
    </row>
    <row r="26" spans="1:5" x14ac:dyDescent="0.25">
      <c r="A26" s="3">
        <v>30</v>
      </c>
      <c r="B26" s="20" t="s">
        <v>10</v>
      </c>
      <c r="C26" s="16">
        <f>FV($D$17,$A26*12,$D$15*-1)</f>
        <v>1820240.0203330356</v>
      </c>
      <c r="D26" s="17">
        <f>C26*rendimento_carteira</f>
        <v>18202.400203330355</v>
      </c>
    </row>
    <row r="28" spans="1:5" ht="18.75" x14ac:dyDescent="0.3">
      <c r="B28" s="48" t="s">
        <v>34</v>
      </c>
      <c r="C28" s="49"/>
      <c r="D28" s="50"/>
    </row>
    <row r="29" spans="1:5" x14ac:dyDescent="0.25">
      <c r="B29" s="61" t="s">
        <v>20</v>
      </c>
      <c r="C29" s="62"/>
      <c r="D29" s="34" t="s">
        <v>17</v>
      </c>
    </row>
    <row r="30" spans="1:5" ht="8.25" customHeight="1" x14ac:dyDescent="0.25"/>
    <row r="31" spans="1:5" x14ac:dyDescent="0.25">
      <c r="B31" s="32" t="s">
        <v>21</v>
      </c>
      <c r="C31" s="32" t="s">
        <v>22</v>
      </c>
      <c r="D31" s="32" t="s">
        <v>23</v>
      </c>
    </row>
    <row r="32" spans="1:5" x14ac:dyDescent="0.25">
      <c r="A32" s="3" t="str">
        <f>$D$29&amp;"-"&amp;B32</f>
        <v>AGRESSIVO-PAPEL</v>
      </c>
      <c r="B32" s="38" t="s">
        <v>24</v>
      </c>
      <c r="C32" s="39">
        <f>VLOOKUP(A32,DATA!B6:E24,4,FALSE)</f>
        <v>0.5</v>
      </c>
      <c r="D32" s="40">
        <f t="shared" ref="D32:D37" si="0">sugestao_invest*C32</f>
        <v>210</v>
      </c>
    </row>
    <row r="33" spans="1:4" x14ac:dyDescent="0.25">
      <c r="A33" s="3" t="str">
        <f t="shared" ref="A33:A38" si="1">$D$29&amp;"-"&amp;B33</f>
        <v>AGRESSIVO-TIJOLO</v>
      </c>
      <c r="B33" s="23" t="s">
        <v>25</v>
      </c>
      <c r="C33" s="41">
        <f>VLOOKUP(A33,DATA!B7:E25,4,FALSE)</f>
        <v>0.1</v>
      </c>
      <c r="D33" s="42">
        <f t="shared" si="0"/>
        <v>42</v>
      </c>
    </row>
    <row r="34" spans="1:4" x14ac:dyDescent="0.25">
      <c r="A34" s="3" t="str">
        <f t="shared" si="1"/>
        <v>AGRESSIVO-HÍBRIDO</v>
      </c>
      <c r="B34" s="23" t="s">
        <v>27</v>
      </c>
      <c r="C34" s="41">
        <f>VLOOKUP(A34,DATA!B8:E26,4,FALSE)</f>
        <v>0.05</v>
      </c>
      <c r="D34" s="42">
        <f t="shared" si="0"/>
        <v>21</v>
      </c>
    </row>
    <row r="35" spans="1:4" x14ac:dyDescent="0.25">
      <c r="A35" s="3" t="str">
        <f t="shared" si="1"/>
        <v>AGRESSIVO-FOF</v>
      </c>
      <c r="B35" s="23" t="s">
        <v>26</v>
      </c>
      <c r="C35" s="41">
        <f>VLOOKUP(A35,DATA!B9:E27,4,FALSE)</f>
        <v>0.05</v>
      </c>
      <c r="D35" s="42">
        <f t="shared" si="0"/>
        <v>21</v>
      </c>
    </row>
    <row r="36" spans="1:4" x14ac:dyDescent="0.25">
      <c r="A36" s="3" t="str">
        <f t="shared" si="1"/>
        <v>AGRESSIVO-DESENVOLVIMENTO</v>
      </c>
      <c r="B36" s="23" t="s">
        <v>28</v>
      </c>
      <c r="C36" s="41">
        <f>VLOOKUP(A36,DATA!B10:E28,4,FALSE)</f>
        <v>0.2</v>
      </c>
      <c r="D36" s="42">
        <f t="shared" si="0"/>
        <v>84</v>
      </c>
    </row>
    <row r="37" spans="1:4" x14ac:dyDescent="0.25">
      <c r="A37" s="3" t="str">
        <f t="shared" si="1"/>
        <v>AGRESSIVO-HOTELARIA</v>
      </c>
      <c r="B37" s="43" t="s">
        <v>29</v>
      </c>
      <c r="C37" s="44">
        <f>VLOOKUP(A37,DATA!B11:E29,4,FALSE)</f>
        <v>0.1</v>
      </c>
      <c r="D37" s="45">
        <f t="shared" si="0"/>
        <v>42</v>
      </c>
    </row>
    <row r="38" spans="1:4" x14ac:dyDescent="0.25">
      <c r="A38" s="3" t="str">
        <f t="shared" si="1"/>
        <v>AGRESSIVO-TOTAL</v>
      </c>
      <c r="B38" s="46" t="s">
        <v>32</v>
      </c>
      <c r="C38" s="47"/>
      <c r="D38" s="33">
        <f>SUM(D32:D37)</f>
        <v>420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mergeCells count="15">
    <mergeCell ref="B8:D8"/>
    <mergeCell ref="B15:C15"/>
    <mergeCell ref="B16:C16"/>
    <mergeCell ref="B17:C17"/>
    <mergeCell ref="B18:C18"/>
    <mergeCell ref="B38:C38"/>
    <mergeCell ref="B28:D28"/>
    <mergeCell ref="B19:C19"/>
    <mergeCell ref="B9:C9"/>
    <mergeCell ref="B10:C10"/>
    <mergeCell ref="B12:C12"/>
    <mergeCell ref="B11:C11"/>
    <mergeCell ref="B29:C29"/>
    <mergeCell ref="B21:C21"/>
    <mergeCell ref="B14:D14"/>
  </mergeCells>
  <dataValidations count="1">
    <dataValidation type="list" allowBlank="1" showInputMessage="1" showErrorMessage="1" sqref="D29" xr:uid="{7770252F-3F06-4D6C-92A0-1CDF8E58C4B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601A-A70A-4B7E-93FA-2D3E78050B21}">
  <sheetPr>
    <tabColor rgb="FFC00000"/>
  </sheetPr>
  <dimension ref="B6:E24"/>
  <sheetViews>
    <sheetView workbookViewId="0">
      <selection activeCell="C1" sqref="C1"/>
    </sheetView>
  </sheetViews>
  <sheetFormatPr defaultRowHeight="15" x14ac:dyDescent="0.25"/>
  <cols>
    <col min="1" max="1" width="9.140625" style="1"/>
    <col min="2" max="2" width="33" style="1" bestFit="1" customWidth="1"/>
    <col min="3" max="3" width="14.42578125" style="1" bestFit="1" customWidth="1"/>
    <col min="4" max="4" width="18.5703125" style="1" bestFit="1" customWidth="1"/>
    <col min="5" max="5" width="4.5703125" style="1" bestFit="1" customWidth="1"/>
    <col min="6" max="16384" width="9.140625" style="1"/>
  </cols>
  <sheetData>
    <row r="6" spans="2:5" x14ac:dyDescent="0.25">
      <c r="B6" s="35" t="s">
        <v>31</v>
      </c>
      <c r="C6" s="36" t="s">
        <v>20</v>
      </c>
      <c r="D6" s="36" t="s">
        <v>21</v>
      </c>
      <c r="E6" s="37" t="s">
        <v>30</v>
      </c>
    </row>
    <row r="7" spans="2:5" x14ac:dyDescent="0.25">
      <c r="B7" s="26" t="str">
        <f>C7&amp;"-"&amp;D7</f>
        <v>CONSERVADOR-PAPEL</v>
      </c>
      <c r="C7" s="1" t="s">
        <v>18</v>
      </c>
      <c r="D7" s="1" t="s">
        <v>24</v>
      </c>
      <c r="E7" s="28">
        <v>0.3</v>
      </c>
    </row>
    <row r="8" spans="2:5" x14ac:dyDescent="0.25">
      <c r="B8" s="26" t="str">
        <f t="shared" ref="B8:B24" si="0">C8&amp;"-"&amp;D8</f>
        <v>CONSERVADOR-TIJOLO</v>
      </c>
      <c r="C8" s="1" t="s">
        <v>18</v>
      </c>
      <c r="D8" s="1" t="s">
        <v>25</v>
      </c>
      <c r="E8" s="28">
        <v>0.5</v>
      </c>
    </row>
    <row r="9" spans="2:5" x14ac:dyDescent="0.25">
      <c r="B9" s="26" t="str">
        <f t="shared" si="0"/>
        <v>CONSERVADOR-HÍBRIDO</v>
      </c>
      <c r="C9" s="1" t="s">
        <v>18</v>
      </c>
      <c r="D9" s="1" t="s">
        <v>27</v>
      </c>
      <c r="E9" s="28">
        <v>0.1</v>
      </c>
    </row>
    <row r="10" spans="2:5" x14ac:dyDescent="0.25">
      <c r="B10" s="26" t="str">
        <f t="shared" si="0"/>
        <v>CONSERVADOR-FOF</v>
      </c>
      <c r="C10" s="1" t="s">
        <v>18</v>
      </c>
      <c r="D10" s="1" t="s">
        <v>26</v>
      </c>
      <c r="E10" s="28">
        <v>0.1</v>
      </c>
    </row>
    <row r="11" spans="2:5" x14ac:dyDescent="0.25">
      <c r="B11" s="26" t="str">
        <f t="shared" si="0"/>
        <v>CONSERVADOR-DESENVOLVIMENTO</v>
      </c>
      <c r="C11" s="1" t="s">
        <v>18</v>
      </c>
      <c r="D11" s="1" t="s">
        <v>28</v>
      </c>
      <c r="E11" s="28">
        <v>0</v>
      </c>
    </row>
    <row r="12" spans="2:5" x14ac:dyDescent="0.25">
      <c r="B12" s="27" t="str">
        <f t="shared" si="0"/>
        <v>CONSERVADOR-HOTELARIA</v>
      </c>
      <c r="C12" s="29" t="s">
        <v>18</v>
      </c>
      <c r="D12" s="29" t="s">
        <v>29</v>
      </c>
      <c r="E12" s="30">
        <v>0</v>
      </c>
    </row>
    <row r="13" spans="2:5" x14ac:dyDescent="0.25">
      <c r="B13" s="24" t="str">
        <f t="shared" si="0"/>
        <v>MODERADO-PAPEL</v>
      </c>
      <c r="C13" s="25" t="s">
        <v>19</v>
      </c>
      <c r="D13" s="25" t="s">
        <v>24</v>
      </c>
      <c r="E13" s="31">
        <v>0.32</v>
      </c>
    </row>
    <row r="14" spans="2:5" x14ac:dyDescent="0.25">
      <c r="B14" s="26" t="str">
        <f t="shared" si="0"/>
        <v>MODERADO-TIJOLO</v>
      </c>
      <c r="C14" s="1" t="s">
        <v>19</v>
      </c>
      <c r="D14" s="1" t="s">
        <v>25</v>
      </c>
      <c r="E14" s="28">
        <v>0.4</v>
      </c>
    </row>
    <row r="15" spans="2:5" x14ac:dyDescent="0.25">
      <c r="B15" s="26" t="str">
        <f t="shared" si="0"/>
        <v>MODERADO-HÍBRIDO</v>
      </c>
      <c r="C15" s="1" t="s">
        <v>19</v>
      </c>
      <c r="D15" s="1" t="s">
        <v>27</v>
      </c>
      <c r="E15" s="28">
        <v>0.08</v>
      </c>
    </row>
    <row r="16" spans="2:5" x14ac:dyDescent="0.25">
      <c r="B16" s="26" t="str">
        <f t="shared" si="0"/>
        <v>MODERADO-FOF</v>
      </c>
      <c r="C16" s="1" t="s">
        <v>19</v>
      </c>
      <c r="D16" s="1" t="s">
        <v>26</v>
      </c>
      <c r="E16" s="28">
        <v>0.1</v>
      </c>
    </row>
    <row r="17" spans="2:5" x14ac:dyDescent="0.25">
      <c r="B17" s="26" t="str">
        <f t="shared" si="0"/>
        <v>MODERADO-DESENVOLVIMENTO</v>
      </c>
      <c r="C17" s="1" t="s">
        <v>19</v>
      </c>
      <c r="D17" s="1" t="s">
        <v>28</v>
      </c>
      <c r="E17" s="28">
        <v>0.05</v>
      </c>
    </row>
    <row r="18" spans="2:5" x14ac:dyDescent="0.25">
      <c r="B18" s="27" t="str">
        <f t="shared" si="0"/>
        <v>MODERADO-HOTELARIA</v>
      </c>
      <c r="C18" s="29" t="s">
        <v>19</v>
      </c>
      <c r="D18" s="29" t="s">
        <v>29</v>
      </c>
      <c r="E18" s="30">
        <v>0.05</v>
      </c>
    </row>
    <row r="19" spans="2:5" x14ac:dyDescent="0.25">
      <c r="B19" s="24" t="str">
        <f t="shared" si="0"/>
        <v>AGRESSIVO-PAPEL</v>
      </c>
      <c r="C19" s="25" t="s">
        <v>17</v>
      </c>
      <c r="D19" s="25" t="s">
        <v>24</v>
      </c>
      <c r="E19" s="31">
        <v>0.5</v>
      </c>
    </row>
    <row r="20" spans="2:5" x14ac:dyDescent="0.25">
      <c r="B20" s="26" t="str">
        <f t="shared" si="0"/>
        <v>AGRESSIVO-TIJOLO</v>
      </c>
      <c r="C20" s="1" t="s">
        <v>17</v>
      </c>
      <c r="D20" s="1" t="s">
        <v>25</v>
      </c>
      <c r="E20" s="28">
        <v>0.1</v>
      </c>
    </row>
    <row r="21" spans="2:5" x14ac:dyDescent="0.25">
      <c r="B21" s="26" t="str">
        <f t="shared" si="0"/>
        <v>AGRESSIVO-HÍBRIDO</v>
      </c>
      <c r="C21" s="1" t="s">
        <v>17</v>
      </c>
      <c r="D21" s="1" t="s">
        <v>27</v>
      </c>
      <c r="E21" s="28">
        <v>0.05</v>
      </c>
    </row>
    <row r="22" spans="2:5" x14ac:dyDescent="0.25">
      <c r="B22" s="26" t="str">
        <f t="shared" si="0"/>
        <v>AGRESSIVO-FOF</v>
      </c>
      <c r="C22" s="1" t="s">
        <v>17</v>
      </c>
      <c r="D22" s="1" t="s">
        <v>26</v>
      </c>
      <c r="E22" s="28">
        <v>0.05</v>
      </c>
    </row>
    <row r="23" spans="2:5" x14ac:dyDescent="0.25">
      <c r="B23" s="26" t="str">
        <f t="shared" si="0"/>
        <v>AGRESSIVO-DESENVOLVIMENTO</v>
      </c>
      <c r="C23" s="1" t="s">
        <v>17</v>
      </c>
      <c r="D23" s="1" t="s">
        <v>28</v>
      </c>
      <c r="E23" s="28">
        <v>0.2</v>
      </c>
    </row>
    <row r="24" spans="2:5" x14ac:dyDescent="0.25">
      <c r="B24" s="27" t="str">
        <f t="shared" si="0"/>
        <v>AGRESSIVO-HOTELARIA</v>
      </c>
      <c r="C24" s="29" t="s">
        <v>17</v>
      </c>
      <c r="D24" s="29" t="s">
        <v>29</v>
      </c>
      <c r="E24" s="3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SIMULADOR</vt:lpstr>
      <vt:lpstr>DATA</vt:lpstr>
      <vt:lpstr>anos</vt:lpstr>
      <vt:lpstr>aporte</vt:lpstr>
      <vt:lpstr>atrimonio</vt:lpstr>
      <vt:lpstr>patrimonio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Pires</dc:creator>
  <cp:lastModifiedBy>William Pires</cp:lastModifiedBy>
  <dcterms:created xsi:type="dcterms:W3CDTF">2025-12-23T01:38:03Z</dcterms:created>
  <dcterms:modified xsi:type="dcterms:W3CDTF">2025-12-24T00:51:16Z</dcterms:modified>
</cp:coreProperties>
</file>